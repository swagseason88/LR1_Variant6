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E24BFF5D-E905-4EB8-A241-FEE9C1DF2E49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График" sheetId="1" r:id="rId1"/>
    <sheet name="Бисекция" sheetId="2" r:id="rId2"/>
    <sheet name="Простая итерация" sheetId="3" r:id="rId3"/>
    <sheet name="Ньютон" sheetId="4" r:id="rId4"/>
    <sheet name="Секущие" sheetId="5" r:id="rId5"/>
    <sheet name="Сравнение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5" l="1"/>
  <c r="B10" i="5"/>
  <c r="C10" i="5"/>
  <c r="D10" i="5"/>
  <c r="E10" i="5"/>
  <c r="F10" i="5"/>
  <c r="G10" i="5"/>
  <c r="A11" i="5"/>
  <c r="B11" i="5"/>
  <c r="C11" i="5"/>
  <c r="D11" i="5"/>
  <c r="E11" i="5"/>
  <c r="F11" i="5"/>
  <c r="G11" i="5"/>
  <c r="A12" i="5"/>
  <c r="B12" i="5"/>
  <c r="C12" i="5"/>
  <c r="D12" i="5"/>
  <c r="E12" i="5"/>
  <c r="F12" i="5"/>
  <c r="G12" i="5"/>
  <c r="A13" i="5"/>
  <c r="B13" i="5"/>
  <c r="C13" i="5"/>
  <c r="D13" i="5"/>
  <c r="E13" i="5"/>
  <c r="F13" i="5"/>
  <c r="G13" i="5"/>
  <c r="G9" i="5"/>
  <c r="F9" i="5"/>
  <c r="E9" i="5"/>
  <c r="D9" i="5"/>
  <c r="C9" i="5"/>
  <c r="B9" i="5"/>
  <c r="A9" i="5"/>
  <c r="A9" i="4"/>
  <c r="B9" i="4"/>
  <c r="C9" i="4"/>
  <c r="D9" i="4"/>
  <c r="E9" i="4"/>
  <c r="F9" i="4"/>
  <c r="A10" i="4"/>
  <c r="B10" i="4"/>
  <c r="C10" i="4"/>
  <c r="D10" i="4"/>
  <c r="E10" i="4"/>
  <c r="F10" i="4"/>
  <c r="A11" i="4"/>
  <c r="B11" i="4"/>
  <c r="C11" i="4"/>
  <c r="D11" i="4"/>
  <c r="E11" i="4"/>
  <c r="F11" i="4"/>
  <c r="A10" i="3"/>
  <c r="B10" i="3"/>
  <c r="C10" i="3"/>
  <c r="D10" i="3"/>
  <c r="E10" i="3"/>
  <c r="A11" i="3"/>
  <c r="B11" i="3"/>
  <c r="C11" i="3"/>
  <c r="D11" i="3"/>
  <c r="E11" i="3"/>
  <c r="A12" i="3"/>
  <c r="B12" i="3"/>
  <c r="C12" i="3"/>
  <c r="D12" i="3"/>
  <c r="E12" i="3"/>
  <c r="A13" i="3"/>
  <c r="B13" i="3"/>
  <c r="C13" i="3"/>
  <c r="D13" i="3"/>
  <c r="E13" i="3"/>
  <c r="A14" i="3"/>
  <c r="B14" i="3"/>
  <c r="C14" i="3"/>
  <c r="D14" i="3"/>
  <c r="E14" i="3"/>
  <c r="A15" i="3"/>
  <c r="B15" i="3"/>
  <c r="C15" i="3"/>
  <c r="D15" i="3"/>
  <c r="E15" i="3"/>
  <c r="A16" i="3"/>
  <c r="B16" i="3"/>
  <c r="C16" i="3"/>
  <c r="D16" i="3"/>
  <c r="E16" i="3"/>
  <c r="A17" i="3"/>
  <c r="B17" i="3"/>
  <c r="C17" i="3"/>
  <c r="D17" i="3"/>
  <c r="E17" i="3"/>
  <c r="A18" i="3"/>
  <c r="B18" i="3"/>
  <c r="C18" i="3"/>
  <c r="D18" i="3"/>
  <c r="E18" i="3"/>
  <c r="A19" i="3"/>
  <c r="B19" i="3"/>
  <c r="C19" i="3"/>
  <c r="D19" i="3"/>
  <c r="E19" i="3"/>
  <c r="A20" i="3"/>
  <c r="B20" i="3"/>
  <c r="C20" i="3"/>
  <c r="D20" i="3"/>
  <c r="E20" i="3"/>
  <c r="A21" i="3"/>
  <c r="B21" i="3"/>
  <c r="C21" i="3"/>
  <c r="D21" i="3"/>
  <c r="E21" i="3"/>
  <c r="A22" i="3"/>
  <c r="B22" i="3"/>
  <c r="C22" i="3"/>
  <c r="D22" i="3"/>
  <c r="E22" i="3"/>
  <c r="A23" i="3"/>
  <c r="B23" i="3"/>
  <c r="C23" i="3"/>
  <c r="D23" i="3"/>
  <c r="E23" i="3"/>
  <c r="A24" i="3"/>
  <c r="B24" i="3"/>
  <c r="C24" i="3"/>
  <c r="D24" i="3"/>
  <c r="E24" i="3"/>
  <c r="A25" i="3"/>
  <c r="B25" i="3"/>
  <c r="C25" i="3"/>
  <c r="D25" i="3"/>
  <c r="E25" i="3"/>
  <c r="A26" i="3"/>
  <c r="B26" i="3"/>
  <c r="C26" i="3"/>
  <c r="D26" i="3"/>
  <c r="E26" i="3"/>
  <c r="E9" i="3"/>
  <c r="D9" i="3"/>
  <c r="C9" i="3"/>
  <c r="B9" i="3"/>
  <c r="A9" i="3"/>
  <c r="A11" i="2"/>
  <c r="B11" i="2"/>
  <c r="C11" i="2"/>
  <c r="D11" i="2"/>
  <c r="E11" i="2"/>
  <c r="F11" i="2"/>
  <c r="G11" i="2"/>
  <c r="H11" i="2"/>
  <c r="A12" i="2"/>
  <c r="B12" i="2"/>
  <c r="C12" i="2"/>
  <c r="D12" i="2"/>
  <c r="E12" i="2"/>
  <c r="F12" i="2"/>
  <c r="G12" i="2"/>
  <c r="H12" i="2"/>
  <c r="A13" i="2"/>
  <c r="B13" i="2"/>
  <c r="C13" i="2"/>
  <c r="D13" i="2"/>
  <c r="E13" i="2"/>
  <c r="F13" i="2"/>
  <c r="G13" i="2"/>
  <c r="H13" i="2"/>
  <c r="A14" i="2"/>
  <c r="B14" i="2"/>
  <c r="C14" i="2"/>
  <c r="D14" i="2"/>
  <c r="E14" i="2"/>
  <c r="F14" i="2"/>
  <c r="G14" i="2"/>
  <c r="H14" i="2"/>
  <c r="A15" i="2"/>
  <c r="B15" i="2"/>
  <c r="C15" i="2"/>
  <c r="D15" i="2"/>
  <c r="E15" i="2"/>
  <c r="F15" i="2"/>
  <c r="G15" i="2"/>
  <c r="H15" i="2"/>
  <c r="A16" i="2"/>
  <c r="B16" i="2"/>
  <c r="C16" i="2"/>
  <c r="D16" i="2"/>
  <c r="E16" i="2"/>
  <c r="F16" i="2"/>
  <c r="G16" i="2"/>
  <c r="H16" i="2"/>
  <c r="A17" i="2"/>
  <c r="B17" i="2"/>
  <c r="C17" i="2"/>
  <c r="D17" i="2"/>
  <c r="E17" i="2"/>
  <c r="F17" i="2"/>
  <c r="G17" i="2"/>
  <c r="H17" i="2"/>
  <c r="A18" i="2"/>
  <c r="B18" i="2"/>
  <c r="C18" i="2"/>
  <c r="D18" i="2"/>
  <c r="E18" i="2"/>
  <c r="F18" i="2"/>
  <c r="G18" i="2"/>
  <c r="H18" i="2"/>
  <c r="A19" i="2"/>
  <c r="B19" i="2"/>
  <c r="C19" i="2"/>
  <c r="D19" i="2"/>
  <c r="E19" i="2"/>
  <c r="F19" i="2"/>
  <c r="G19" i="2"/>
  <c r="H19" i="2"/>
  <c r="A20" i="2"/>
  <c r="B20" i="2"/>
  <c r="C20" i="2"/>
  <c r="D20" i="2"/>
  <c r="E20" i="2"/>
  <c r="F20" i="2"/>
  <c r="G20" i="2"/>
  <c r="H20" i="2"/>
  <c r="A21" i="2"/>
  <c r="B21" i="2"/>
  <c r="C21" i="2"/>
  <c r="D21" i="2"/>
  <c r="E21" i="2"/>
  <c r="F21" i="2"/>
  <c r="G21" i="2"/>
  <c r="H21" i="2"/>
  <c r="A22" i="2"/>
  <c r="B22" i="2"/>
  <c r="C22" i="2"/>
  <c r="D22" i="2"/>
  <c r="E22" i="2"/>
  <c r="F22" i="2"/>
  <c r="G22" i="2"/>
  <c r="H22" i="2"/>
  <c r="A23" i="2"/>
  <c r="B23" i="2"/>
  <c r="C23" i="2"/>
  <c r="D23" i="2"/>
  <c r="E23" i="2"/>
  <c r="F23" i="2"/>
  <c r="G23" i="2"/>
  <c r="H23" i="2"/>
  <c r="A10" i="2"/>
  <c r="B10" i="2"/>
  <c r="C10" i="2"/>
  <c r="D10" i="2"/>
  <c r="E10" i="2"/>
  <c r="F10" i="2"/>
  <c r="G10" i="2"/>
  <c r="H10" i="2"/>
  <c r="G8" i="5"/>
  <c r="F8" i="5"/>
  <c r="E8" i="5"/>
  <c r="D8" i="5"/>
  <c r="C8" i="5"/>
  <c r="B8" i="5"/>
  <c r="C7" i="5"/>
  <c r="B7" i="5"/>
  <c r="F8" i="4"/>
  <c r="E8" i="4"/>
  <c r="D8" i="4"/>
  <c r="C8" i="4"/>
  <c r="B8" i="4"/>
  <c r="A8" i="4"/>
  <c r="F7" i="4"/>
  <c r="E7" i="4"/>
  <c r="D7" i="4"/>
  <c r="C7" i="4"/>
  <c r="B7" i="4"/>
  <c r="B8" i="3"/>
  <c r="C8" i="3" s="1"/>
  <c r="B4" i="3"/>
  <c r="H9" i="2"/>
  <c r="G9" i="2"/>
  <c r="F9" i="2"/>
  <c r="E9" i="2"/>
  <c r="D9" i="2"/>
  <c r="C9" i="2"/>
  <c r="B9" i="2"/>
  <c r="B6" i="2"/>
  <c r="B5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E8" i="3" l="1"/>
  <c r="D8" i="3"/>
</calcChain>
</file>

<file path=xl/sharedStrings.xml><?xml version="1.0" encoding="utf-8"?>
<sst xmlns="http://schemas.openxmlformats.org/spreadsheetml/2006/main" count="58" uniqueCount="43">
  <si>
    <t>x</t>
  </si>
  <si>
    <t>f(x)=x^3-x-1</t>
  </si>
  <si>
    <t>a=</t>
  </si>
  <si>
    <t>b=</t>
  </si>
  <si>
    <t>eps=</t>
  </si>
  <si>
    <t>f(a)=</t>
  </si>
  <si>
    <t>f(b)=</t>
  </si>
  <si>
    <t>Итерация</t>
  </si>
  <si>
    <t>a</t>
  </si>
  <si>
    <t>b</t>
  </si>
  <si>
    <t>c=(a+b)/2</t>
  </si>
  <si>
    <t>f(c)</t>
  </si>
  <si>
    <t>f(a)·f(c)</t>
  </si>
  <si>
    <t>b-a</t>
  </si>
  <si>
    <t>|f(c)|</t>
  </si>
  <si>
    <t>phi(x)=(x+1)^(1/3)</t>
  </si>
  <si>
    <t>x0=</t>
  </si>
  <si>
    <t>phi'(x0)=</t>
  </si>
  <si>
    <t>n</t>
  </si>
  <si>
    <t>x_n</t>
  </si>
  <si>
    <t>x_(n+1)=phi(x_n)</t>
  </si>
  <si>
    <t>|x_(n+1)-x_n|</t>
  </si>
  <si>
    <t>f(x_(n+1))</t>
  </si>
  <si>
    <t>f'(x)=3x^2-1</t>
  </si>
  <si>
    <t>k</t>
  </si>
  <si>
    <t>x_k</t>
  </si>
  <si>
    <t>f(x_k)</t>
  </si>
  <si>
    <t>f'(x_k)</t>
  </si>
  <si>
    <t>x_(k+1)</t>
  </si>
  <si>
    <t>|x_(k+1)-x_k|</t>
  </si>
  <si>
    <t>x1=</t>
  </si>
  <si>
    <t>Метод</t>
  </si>
  <si>
    <t>Итераций</t>
  </si>
  <si>
    <t>Ответ</t>
  </si>
  <si>
    <t>Невязка</t>
  </si>
  <si>
    <t>Бисекция</t>
  </si>
  <si>
    <t>≈ 5·10⁻⁵</t>
  </si>
  <si>
    <t>Простая итерация</t>
  </si>
  <si>
    <t>≈ 2·10⁻⁵</t>
  </si>
  <si>
    <t>Ньютон</t>
  </si>
  <si>
    <t>≈ 1·10⁻¹¹</t>
  </si>
  <si>
    <t>Секущие</t>
  </si>
  <si>
    <t>≈ 1·10⁻⁷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</si>
</sst>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График!$B$1</c:f>
              <c:strCache>
                <c:ptCount val="1"/>
                <c:pt idx="0">
                  <c:v>f(x)=x^3-x-1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График!$A$2:$A$22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График!$B$2:$B$22</c:f>
              <c:numCache>
                <c:formatCode>General</c:formatCode>
                <c:ptCount val="21"/>
                <c:pt idx="0">
                  <c:v>-1</c:v>
                </c:pt>
                <c:pt idx="1">
                  <c:v>-1.099</c:v>
                </c:pt>
                <c:pt idx="2">
                  <c:v>-1.1919999999999999</c:v>
                </c:pt>
                <c:pt idx="3">
                  <c:v>-1.2729999999999999</c:v>
                </c:pt>
                <c:pt idx="4">
                  <c:v>-1.3360000000000001</c:v>
                </c:pt>
                <c:pt idx="5">
                  <c:v>-1.375</c:v>
                </c:pt>
                <c:pt idx="6">
                  <c:v>-1.3839999999999999</c:v>
                </c:pt>
                <c:pt idx="7">
                  <c:v>-1.357</c:v>
                </c:pt>
                <c:pt idx="8">
                  <c:v>-1.2879999999999998</c:v>
                </c:pt>
                <c:pt idx="9">
                  <c:v>-1.1709999999999998</c:v>
                </c:pt>
                <c:pt idx="10">
                  <c:v>-1</c:v>
                </c:pt>
                <c:pt idx="11">
                  <c:v>-0.76899999999999968</c:v>
                </c:pt>
                <c:pt idx="12">
                  <c:v>-0.47199999999999998</c:v>
                </c:pt>
                <c:pt idx="13">
                  <c:v>-0.10299999999999954</c:v>
                </c:pt>
                <c:pt idx="14">
                  <c:v>0.34399999999999942</c:v>
                </c:pt>
                <c:pt idx="15">
                  <c:v>0.875</c:v>
                </c:pt>
                <c:pt idx="16">
                  <c:v>1.4960000000000009</c:v>
                </c:pt>
                <c:pt idx="17">
                  <c:v>2.2129999999999992</c:v>
                </c:pt>
                <c:pt idx="18">
                  <c:v>3.0320000000000009</c:v>
                </c:pt>
                <c:pt idx="19">
                  <c:v>3.9589999999999996</c:v>
                </c:pt>
                <c:pt idx="2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9-4DE9-988D-1545DF574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90951"/>
        <c:axId val="283092999"/>
      </c:scatterChart>
      <c:valAx>
        <c:axId val="283090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92999"/>
        <c:crosses val="autoZero"/>
        <c:crossBetween val="midCat"/>
      </c:valAx>
      <c:valAx>
        <c:axId val="283092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90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</xdr:row>
      <xdr:rowOff>0</xdr:rowOff>
    </xdr:from>
    <xdr:to>
      <xdr:col>10</xdr:col>
      <xdr:colOff>247650</xdr:colOff>
      <xdr:row>15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CD8538A-3D98-5823-FA74-A7FA46189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defaultRowHeight="15"/>
  <cols>
    <col min="1" max="1" width="4.140625" bestFit="1" customWidth="1"/>
    <col min="2" max="2" width="11.42578125" bestFit="1" customWidth="1"/>
  </cols>
  <sheetData>
    <row r="1" spans="1:2">
      <c r="A1" t="s">
        <v>0</v>
      </c>
      <c r="B1" s="1" t="s">
        <v>1</v>
      </c>
    </row>
    <row r="2" spans="1:2">
      <c r="A2">
        <v>0</v>
      </c>
      <c r="B2">
        <f>A2^3-A2-1</f>
        <v>-1</v>
      </c>
    </row>
    <row r="3" spans="1:2">
      <c r="A3">
        <v>0.1</v>
      </c>
      <c r="B3">
        <f>A3^3-A3-1</f>
        <v>-1.099</v>
      </c>
    </row>
    <row r="4" spans="1:2">
      <c r="A4">
        <v>0.2</v>
      </c>
      <c r="B4">
        <f>A4^3-A4-1</f>
        <v>-1.1919999999999999</v>
      </c>
    </row>
    <row r="5" spans="1:2">
      <c r="A5">
        <v>0.3</v>
      </c>
      <c r="B5">
        <f>A5^3-A5-1</f>
        <v>-1.2729999999999999</v>
      </c>
    </row>
    <row r="6" spans="1:2">
      <c r="A6">
        <v>0.4</v>
      </c>
      <c r="B6">
        <f>A6^3-A6-1</f>
        <v>-1.3360000000000001</v>
      </c>
    </row>
    <row r="7" spans="1:2">
      <c r="A7">
        <v>0.5</v>
      </c>
      <c r="B7">
        <f>A7^3-A7-1</f>
        <v>-1.375</v>
      </c>
    </row>
    <row r="8" spans="1:2">
      <c r="A8">
        <v>0.6</v>
      </c>
      <c r="B8">
        <f>A8^3-A8-1</f>
        <v>-1.3839999999999999</v>
      </c>
    </row>
    <row r="9" spans="1:2">
      <c r="A9">
        <v>0.7</v>
      </c>
      <c r="B9">
        <f>A9^3-A9-1</f>
        <v>-1.357</v>
      </c>
    </row>
    <row r="10" spans="1:2">
      <c r="A10">
        <v>0.8</v>
      </c>
      <c r="B10">
        <f>A10^3-A10-1</f>
        <v>-1.2879999999999998</v>
      </c>
    </row>
    <row r="11" spans="1:2">
      <c r="A11">
        <v>0.9</v>
      </c>
      <c r="B11">
        <f>A11^3-A11-1</f>
        <v>-1.1709999999999998</v>
      </c>
    </row>
    <row r="12" spans="1:2">
      <c r="A12">
        <v>1</v>
      </c>
      <c r="B12">
        <f>A12^3-A12-1</f>
        <v>-1</v>
      </c>
    </row>
    <row r="13" spans="1:2">
      <c r="A13">
        <v>1.1000000000000001</v>
      </c>
      <c r="B13">
        <f>A13^3-A13-1</f>
        <v>-0.76899999999999968</v>
      </c>
    </row>
    <row r="14" spans="1:2">
      <c r="A14">
        <v>1.2</v>
      </c>
      <c r="B14">
        <f>A14^3-A14-1</f>
        <v>-0.47199999999999998</v>
      </c>
    </row>
    <row r="15" spans="1:2">
      <c r="A15">
        <v>1.3</v>
      </c>
      <c r="B15">
        <f>A15^3-A15-1</f>
        <v>-0.10299999999999954</v>
      </c>
    </row>
    <row r="16" spans="1:2">
      <c r="A16">
        <v>1.4</v>
      </c>
      <c r="B16">
        <f>A16^3-A16-1</f>
        <v>0.34399999999999942</v>
      </c>
    </row>
    <row r="17" spans="1:2">
      <c r="A17">
        <v>1.5</v>
      </c>
      <c r="B17">
        <f>A17^3-A17-1</f>
        <v>0.875</v>
      </c>
    </row>
    <row r="18" spans="1:2">
      <c r="A18">
        <v>1.6</v>
      </c>
      <c r="B18">
        <f>A18^3-A18-1</f>
        <v>1.4960000000000009</v>
      </c>
    </row>
    <row r="19" spans="1:2">
      <c r="A19">
        <v>1.7</v>
      </c>
      <c r="B19">
        <f>A19^3-A19-1</f>
        <v>2.2129999999999992</v>
      </c>
    </row>
    <row r="20" spans="1:2">
      <c r="A20">
        <v>1.8</v>
      </c>
      <c r="B20">
        <f>A20^3-A20-1</f>
        <v>3.0320000000000009</v>
      </c>
    </row>
    <row r="21" spans="1:2">
      <c r="A21">
        <v>1.9</v>
      </c>
      <c r="B21">
        <f>A21^3-A21-1</f>
        <v>3.9589999999999996</v>
      </c>
    </row>
    <row r="22" spans="1:2">
      <c r="A22">
        <v>2</v>
      </c>
      <c r="B22">
        <f>A22^3-A22-1</f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C40F4-8CD1-4B62-9AC9-1A5BA70B1AFB}">
  <dimension ref="A1:H23"/>
  <sheetViews>
    <sheetView topLeftCell="A4" workbookViewId="0">
      <selection activeCell="F27" sqref="F27"/>
    </sheetView>
  </sheetViews>
  <sheetFormatPr defaultRowHeight="15"/>
  <cols>
    <col min="1" max="1" width="11.42578125" bestFit="1" customWidth="1"/>
    <col min="2" max="4" width="12.5703125" bestFit="1" customWidth="1"/>
    <col min="5" max="6" width="12.85546875" bestFit="1" customWidth="1"/>
    <col min="7" max="8" width="12.5703125" bestFit="1" customWidth="1"/>
  </cols>
  <sheetData>
    <row r="1" spans="1:8">
      <c r="A1" t="s">
        <v>1</v>
      </c>
    </row>
    <row r="2" spans="1:8">
      <c r="A2" t="s">
        <v>2</v>
      </c>
      <c r="B2">
        <v>1</v>
      </c>
    </row>
    <row r="3" spans="1:8">
      <c r="A3" t="s">
        <v>3</v>
      </c>
      <c r="B3">
        <v>2</v>
      </c>
    </row>
    <row r="4" spans="1:8">
      <c r="A4" t="s">
        <v>4</v>
      </c>
      <c r="B4">
        <v>1E-4</v>
      </c>
    </row>
    <row r="5" spans="1:8">
      <c r="A5" t="s">
        <v>5</v>
      </c>
      <c r="B5">
        <f>B2^3-B2-1</f>
        <v>-1</v>
      </c>
    </row>
    <row r="6" spans="1:8">
      <c r="A6" t="s">
        <v>6</v>
      </c>
      <c r="B6">
        <f>B3^3-B3-1</f>
        <v>5</v>
      </c>
    </row>
    <row r="8" spans="1:8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</row>
    <row r="9" spans="1:8">
      <c r="A9">
        <v>1</v>
      </c>
      <c r="B9">
        <f>$B$2</f>
        <v>1</v>
      </c>
      <c r="C9">
        <f>$B$3</f>
        <v>2</v>
      </c>
      <c r="D9">
        <f>(B9+C9)/2</f>
        <v>1.5</v>
      </c>
      <c r="E9">
        <f>D9^3-D9-1</f>
        <v>0.875</v>
      </c>
      <c r="F9">
        <f>E9*$B$5</f>
        <v>-0.875</v>
      </c>
      <c r="G9">
        <f>C9-B9</f>
        <v>1</v>
      </c>
      <c r="H9">
        <f>ABS(E9)</f>
        <v>0.875</v>
      </c>
    </row>
    <row r="10" spans="1:8" ht="14.25" customHeight="1">
      <c r="A10">
        <f>A9+1</f>
        <v>2</v>
      </c>
      <c r="B10">
        <f>IF(F9&lt;0,B9,D9)</f>
        <v>1</v>
      </c>
      <c r="C10">
        <f>IF(F9&lt;0,D9,C9)</f>
        <v>1.5</v>
      </c>
      <c r="D10">
        <f>(B10+C10)/2</f>
        <v>1.25</v>
      </c>
      <c r="E10">
        <f>D10^3-D10-1</f>
        <v>-0.296875</v>
      </c>
      <c r="F10">
        <f>E10*$B$5</f>
        <v>0.296875</v>
      </c>
      <c r="G10">
        <f>C10-B10</f>
        <v>0.5</v>
      </c>
      <c r="H10">
        <f>ABS(E10)</f>
        <v>0.296875</v>
      </c>
    </row>
    <row r="11" spans="1:8">
      <c r="A11">
        <f t="shared" ref="A11:A23" si="0">A10+1</f>
        <v>3</v>
      </c>
      <c r="B11">
        <f t="shared" ref="B11:B23" si="1">IF(F10&lt;0,B10,D10)</f>
        <v>1.25</v>
      </c>
      <c r="C11">
        <f t="shared" ref="C11:C23" si="2">IF(F10&lt;0,D10,C10)</f>
        <v>1.5</v>
      </c>
      <c r="D11">
        <f t="shared" ref="D11:D23" si="3">(B11+C11)/2</f>
        <v>1.375</v>
      </c>
      <c r="E11">
        <f t="shared" ref="E11:E23" si="4">D11^3-D11-1</f>
        <v>0.224609375</v>
      </c>
      <c r="F11">
        <f t="shared" ref="F11:F23" si="5">E11*$B$5</f>
        <v>-0.224609375</v>
      </c>
      <c r="G11">
        <f t="shared" ref="G11:G23" si="6">C11-B11</f>
        <v>0.25</v>
      </c>
      <c r="H11">
        <f t="shared" ref="H11:H23" si="7">ABS(E11)</f>
        <v>0.224609375</v>
      </c>
    </row>
    <row r="12" spans="1:8">
      <c r="A12">
        <f t="shared" si="0"/>
        <v>4</v>
      </c>
      <c r="B12">
        <f t="shared" si="1"/>
        <v>1.25</v>
      </c>
      <c r="C12">
        <f t="shared" si="2"/>
        <v>1.375</v>
      </c>
      <c r="D12">
        <f t="shared" si="3"/>
        <v>1.3125</v>
      </c>
      <c r="E12">
        <f t="shared" si="4"/>
        <v>-5.1513671875E-2</v>
      </c>
      <c r="F12">
        <f t="shared" si="5"/>
        <v>5.1513671875E-2</v>
      </c>
      <c r="G12">
        <f t="shared" si="6"/>
        <v>0.125</v>
      </c>
      <c r="H12">
        <f t="shared" si="7"/>
        <v>5.1513671875E-2</v>
      </c>
    </row>
    <row r="13" spans="1:8">
      <c r="A13">
        <f t="shared" si="0"/>
        <v>5</v>
      </c>
      <c r="B13">
        <f t="shared" si="1"/>
        <v>1.3125</v>
      </c>
      <c r="C13">
        <f t="shared" si="2"/>
        <v>1.375</v>
      </c>
      <c r="D13">
        <f t="shared" si="3"/>
        <v>1.34375</v>
      </c>
      <c r="E13">
        <f t="shared" si="4"/>
        <v>8.2611083984375E-2</v>
      </c>
      <c r="F13">
        <f t="shared" si="5"/>
        <v>-8.2611083984375E-2</v>
      </c>
      <c r="G13">
        <f t="shared" si="6"/>
        <v>6.25E-2</v>
      </c>
      <c r="H13">
        <f t="shared" si="7"/>
        <v>8.2611083984375E-2</v>
      </c>
    </row>
    <row r="14" spans="1:8">
      <c r="A14">
        <f t="shared" si="0"/>
        <v>6</v>
      </c>
      <c r="B14">
        <f t="shared" si="1"/>
        <v>1.3125</v>
      </c>
      <c r="C14">
        <f t="shared" si="2"/>
        <v>1.34375</v>
      </c>
      <c r="D14">
        <f t="shared" si="3"/>
        <v>1.328125</v>
      </c>
      <c r="E14">
        <f t="shared" si="4"/>
        <v>1.4575958251953125E-2</v>
      </c>
      <c r="F14">
        <f t="shared" si="5"/>
        <v>-1.4575958251953125E-2</v>
      </c>
      <c r="G14">
        <f t="shared" si="6"/>
        <v>3.125E-2</v>
      </c>
      <c r="H14">
        <f t="shared" si="7"/>
        <v>1.4575958251953125E-2</v>
      </c>
    </row>
    <row r="15" spans="1:8">
      <c r="A15">
        <f t="shared" si="0"/>
        <v>7</v>
      </c>
      <c r="B15">
        <f t="shared" si="1"/>
        <v>1.3125</v>
      </c>
      <c r="C15">
        <f t="shared" si="2"/>
        <v>1.328125</v>
      </c>
      <c r="D15">
        <f t="shared" si="3"/>
        <v>1.3203125</v>
      </c>
      <c r="E15">
        <f t="shared" si="4"/>
        <v>-1.8710613250732422E-2</v>
      </c>
      <c r="F15">
        <f t="shared" si="5"/>
        <v>1.8710613250732422E-2</v>
      </c>
      <c r="G15">
        <f t="shared" si="6"/>
        <v>1.5625E-2</v>
      </c>
      <c r="H15">
        <f t="shared" si="7"/>
        <v>1.8710613250732422E-2</v>
      </c>
    </row>
    <row r="16" spans="1:8">
      <c r="A16">
        <f t="shared" si="0"/>
        <v>8</v>
      </c>
      <c r="B16">
        <f t="shared" si="1"/>
        <v>1.3203125</v>
      </c>
      <c r="C16">
        <f t="shared" si="2"/>
        <v>1.328125</v>
      </c>
      <c r="D16">
        <f t="shared" si="3"/>
        <v>1.32421875</v>
      </c>
      <c r="E16">
        <f t="shared" si="4"/>
        <v>-2.1279454231262207E-3</v>
      </c>
      <c r="F16">
        <f t="shared" si="5"/>
        <v>2.1279454231262207E-3</v>
      </c>
      <c r="G16">
        <f t="shared" si="6"/>
        <v>7.8125E-3</v>
      </c>
      <c r="H16">
        <f t="shared" si="7"/>
        <v>2.1279454231262207E-3</v>
      </c>
    </row>
    <row r="17" spans="1:8">
      <c r="A17">
        <f t="shared" si="0"/>
        <v>9</v>
      </c>
      <c r="B17">
        <f t="shared" si="1"/>
        <v>1.32421875</v>
      </c>
      <c r="C17">
        <f t="shared" si="2"/>
        <v>1.328125</v>
      </c>
      <c r="D17">
        <f t="shared" si="3"/>
        <v>1.326171875</v>
      </c>
      <c r="E17">
        <f t="shared" si="4"/>
        <v>6.2088295817375183E-3</v>
      </c>
      <c r="F17">
        <f t="shared" si="5"/>
        <v>-6.2088295817375183E-3</v>
      </c>
      <c r="G17">
        <f t="shared" si="6"/>
        <v>3.90625E-3</v>
      </c>
      <c r="H17">
        <f t="shared" si="7"/>
        <v>6.2088295817375183E-3</v>
      </c>
    </row>
    <row r="18" spans="1:8">
      <c r="A18">
        <f t="shared" si="0"/>
        <v>10</v>
      </c>
      <c r="B18">
        <f t="shared" si="1"/>
        <v>1.32421875</v>
      </c>
      <c r="C18">
        <f t="shared" si="2"/>
        <v>1.326171875</v>
      </c>
      <c r="D18">
        <f t="shared" si="3"/>
        <v>1.3251953125</v>
      </c>
      <c r="E18">
        <f t="shared" si="4"/>
        <v>2.0366506651043892E-3</v>
      </c>
      <c r="F18">
        <f t="shared" si="5"/>
        <v>-2.0366506651043892E-3</v>
      </c>
      <c r="G18">
        <f t="shared" si="6"/>
        <v>1.953125E-3</v>
      </c>
      <c r="H18">
        <f t="shared" si="7"/>
        <v>2.0366506651043892E-3</v>
      </c>
    </row>
    <row r="19" spans="1:8">
      <c r="A19">
        <f t="shared" si="0"/>
        <v>11</v>
      </c>
      <c r="B19">
        <f t="shared" si="1"/>
        <v>1.32421875</v>
      </c>
      <c r="C19">
        <f t="shared" si="2"/>
        <v>1.3251953125</v>
      </c>
      <c r="D19">
        <f t="shared" si="3"/>
        <v>1.32470703125</v>
      </c>
      <c r="E19">
        <f t="shared" si="4"/>
        <v>-4.6594883315265179E-5</v>
      </c>
      <c r="F19">
        <f t="shared" si="5"/>
        <v>4.6594883315265179E-5</v>
      </c>
      <c r="G19">
        <f t="shared" si="6"/>
        <v>9.765625E-4</v>
      </c>
      <c r="H19">
        <f t="shared" si="7"/>
        <v>4.6594883315265179E-5</v>
      </c>
    </row>
    <row r="20" spans="1:8">
      <c r="A20">
        <f t="shared" si="0"/>
        <v>12</v>
      </c>
      <c r="B20">
        <f t="shared" si="1"/>
        <v>1.32470703125</v>
      </c>
      <c r="C20">
        <f t="shared" si="2"/>
        <v>1.3251953125</v>
      </c>
      <c r="D20">
        <f t="shared" si="3"/>
        <v>1.324951171875</v>
      </c>
      <c r="E20">
        <f t="shared" si="4"/>
        <v>9.9479097116272897E-4</v>
      </c>
      <c r="F20">
        <f t="shared" si="5"/>
        <v>-9.9479097116272897E-4</v>
      </c>
      <c r="G20">
        <f t="shared" si="6"/>
        <v>4.8828125E-4</v>
      </c>
      <c r="H20">
        <f t="shared" si="7"/>
        <v>9.9479097116272897E-4</v>
      </c>
    </row>
    <row r="21" spans="1:8">
      <c r="A21">
        <f t="shared" si="0"/>
        <v>13</v>
      </c>
      <c r="B21">
        <f t="shared" si="1"/>
        <v>1.32470703125</v>
      </c>
      <c r="C21">
        <f t="shared" si="2"/>
        <v>1.324951171875</v>
      </c>
      <c r="D21">
        <f t="shared" si="3"/>
        <v>1.3248291015625</v>
      </c>
      <c r="E21">
        <f t="shared" si="4"/>
        <v>4.7403881944774184E-4</v>
      </c>
      <c r="F21">
        <f t="shared" si="5"/>
        <v>-4.7403881944774184E-4</v>
      </c>
      <c r="G21">
        <f t="shared" si="6"/>
        <v>2.44140625E-4</v>
      </c>
      <c r="H21">
        <f t="shared" si="7"/>
        <v>4.7403881944774184E-4</v>
      </c>
    </row>
    <row r="22" spans="1:8">
      <c r="A22">
        <f t="shared" si="0"/>
        <v>14</v>
      </c>
      <c r="B22">
        <f t="shared" si="1"/>
        <v>1.32470703125</v>
      </c>
      <c r="C22">
        <f t="shared" si="2"/>
        <v>1.3248291015625</v>
      </c>
      <c r="D22">
        <f t="shared" si="3"/>
        <v>1.32476806640625</v>
      </c>
      <c r="E22">
        <f t="shared" si="4"/>
        <v>2.1370716262936185E-4</v>
      </c>
      <c r="F22">
        <f t="shared" si="5"/>
        <v>-2.1370716262936185E-4</v>
      </c>
      <c r="G22">
        <f t="shared" si="6"/>
        <v>1.220703125E-4</v>
      </c>
      <c r="H22">
        <f t="shared" si="7"/>
        <v>2.1370716262936185E-4</v>
      </c>
    </row>
    <row r="23" spans="1:8">
      <c r="A23">
        <f t="shared" si="0"/>
        <v>15</v>
      </c>
      <c r="B23">
        <f t="shared" si="1"/>
        <v>1.32470703125</v>
      </c>
      <c r="C23">
        <f t="shared" si="2"/>
        <v>1.32476806640625</v>
      </c>
      <c r="D23">
        <f t="shared" si="3"/>
        <v>1.324737548828125</v>
      </c>
      <c r="E23">
        <f t="shared" si="4"/>
        <v>8.3552438383094341E-5</v>
      </c>
      <c r="F23">
        <f t="shared" si="5"/>
        <v>-8.3552438383094341E-5</v>
      </c>
      <c r="G23">
        <f t="shared" si="6"/>
        <v>6.103515625E-5</v>
      </c>
      <c r="H23">
        <f t="shared" si="7"/>
        <v>8.3552438383094341E-5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0F1B-7DD6-4FA3-87DF-93F87B0228F4}">
  <dimension ref="A1:E26"/>
  <sheetViews>
    <sheetView workbookViewId="0">
      <selection activeCell="H22" sqref="H22"/>
    </sheetView>
  </sheetViews>
  <sheetFormatPr defaultRowHeight="15"/>
  <cols>
    <col min="1" max="1" width="11.42578125" bestFit="1" customWidth="1"/>
    <col min="2" max="2" width="17.140625" bestFit="1" customWidth="1"/>
    <col min="3" max="3" width="16.140625" bestFit="1" customWidth="1"/>
    <col min="4" max="4" width="13.5703125" bestFit="1" customWidth="1"/>
    <col min="5" max="5" width="12.5703125" bestFit="1" customWidth="1"/>
  </cols>
  <sheetData>
    <row r="1" spans="1:5">
      <c r="A1" t="s">
        <v>1</v>
      </c>
      <c r="B1" t="s">
        <v>15</v>
      </c>
    </row>
    <row r="2" spans="1:5">
      <c r="A2" t="s">
        <v>16</v>
      </c>
      <c r="B2">
        <v>1.5</v>
      </c>
    </row>
    <row r="3" spans="1:5">
      <c r="A3" t="s">
        <v>4</v>
      </c>
      <c r="B3">
        <v>1E-4</v>
      </c>
    </row>
    <row r="4" spans="1:5">
      <c r="A4" t="s">
        <v>17</v>
      </c>
      <c r="B4">
        <f>1/(3*((B2+1)^(2/3)))</f>
        <v>0.18096117443966045</v>
      </c>
    </row>
    <row r="7" spans="1:5">
      <c r="A7" t="s">
        <v>18</v>
      </c>
      <c r="B7" t="s">
        <v>19</v>
      </c>
      <c r="C7" t="s">
        <v>20</v>
      </c>
      <c r="D7" t="s">
        <v>21</v>
      </c>
      <c r="E7" t="s">
        <v>22</v>
      </c>
    </row>
    <row r="8" spans="1:5">
      <c r="A8">
        <v>0</v>
      </c>
      <c r="B8">
        <f>$B$2</f>
        <v>1.5</v>
      </c>
      <c r="C8">
        <f>(B8+1)^(1/3)</f>
        <v>1.3572088082974534</v>
      </c>
      <c r="D8">
        <f>ABS(C8-B8)</f>
        <v>0.14279119170254662</v>
      </c>
      <c r="E8">
        <f>C8^3-C8-1</f>
        <v>0.14279119170254706</v>
      </c>
    </row>
    <row r="9" spans="1:5">
      <c r="A9">
        <f>A8+1</f>
        <v>1</v>
      </c>
      <c r="B9">
        <f>C8</f>
        <v>1.3572088082974534</v>
      </c>
      <c r="C9">
        <f>(B9+1)^(1/3)</f>
        <v>1.3308609588014277</v>
      </c>
      <c r="D9">
        <f>ABS(C9-B9)</f>
        <v>2.6347849496025644E-2</v>
      </c>
      <c r="E9">
        <f>C9^3-C9-1</f>
        <v>2.63478494960252E-2</v>
      </c>
    </row>
    <row r="10" spans="1:5">
      <c r="A10">
        <f t="shared" ref="A10:A26" si="0">A9+1</f>
        <v>2</v>
      </c>
      <c r="B10">
        <f t="shared" ref="B10:B26" si="1">C9</f>
        <v>1.3308609588014277</v>
      </c>
      <c r="C10">
        <f t="shared" ref="C10:C26" si="2">(B10+1)^(1/3)</f>
        <v>1.3258837742323479</v>
      </c>
      <c r="D10">
        <f t="shared" ref="D10:D26" si="3">ABS(C10-B10)</f>
        <v>4.9771845690798067E-3</v>
      </c>
      <c r="E10">
        <f t="shared" ref="E10:E26" si="4">C10^3-C10-1</f>
        <v>4.9771845690804728E-3</v>
      </c>
    </row>
    <row r="11" spans="1:5">
      <c r="A11">
        <f t="shared" si="0"/>
        <v>3</v>
      </c>
      <c r="B11">
        <f t="shared" si="1"/>
        <v>1.3258837742323479</v>
      </c>
      <c r="C11">
        <f t="shared" si="2"/>
        <v>1.3249393634018849</v>
      </c>
      <c r="D11">
        <f t="shared" si="3"/>
        <v>9.4441083046303831E-4</v>
      </c>
      <c r="E11">
        <f t="shared" si="4"/>
        <v>9.4441083046281626E-4</v>
      </c>
    </row>
    <row r="12" spans="1:5">
      <c r="A12">
        <f t="shared" si="0"/>
        <v>4</v>
      </c>
      <c r="B12">
        <f t="shared" si="1"/>
        <v>1.3249393634018849</v>
      </c>
      <c r="C12">
        <f t="shared" si="2"/>
        <v>1.3247600112927027</v>
      </c>
      <c r="D12">
        <f t="shared" si="3"/>
        <v>1.793521091821848E-4</v>
      </c>
      <c r="E12">
        <f t="shared" si="4"/>
        <v>1.7935210918285094E-4</v>
      </c>
    </row>
    <row r="13" spans="1:5">
      <c r="A13">
        <f t="shared" si="0"/>
        <v>5</v>
      </c>
      <c r="B13">
        <f t="shared" si="1"/>
        <v>1.3247600112927027</v>
      </c>
      <c r="C13">
        <f t="shared" si="2"/>
        <v>1.3247259452268871</v>
      </c>
      <c r="D13">
        <f t="shared" si="3"/>
        <v>3.4066065815574476E-5</v>
      </c>
      <c r="E13">
        <f t="shared" si="4"/>
        <v>3.4066065815130386E-5</v>
      </c>
    </row>
    <row r="14" spans="1:5">
      <c r="A14">
        <f t="shared" si="0"/>
        <v>6</v>
      </c>
      <c r="B14">
        <f t="shared" si="1"/>
        <v>1.3247259452268871</v>
      </c>
      <c r="C14">
        <f t="shared" si="2"/>
        <v>1.324719474534364</v>
      </c>
      <c r="D14">
        <f t="shared" si="3"/>
        <v>6.4706925231305945E-6</v>
      </c>
      <c r="E14">
        <f t="shared" si="4"/>
        <v>6.4706925229085499E-6</v>
      </c>
    </row>
    <row r="15" spans="1:5">
      <c r="A15">
        <f t="shared" si="0"/>
        <v>7</v>
      </c>
      <c r="B15">
        <f t="shared" si="1"/>
        <v>1.324719474534364</v>
      </c>
      <c r="C15">
        <f t="shared" si="2"/>
        <v>1.3247182454489357</v>
      </c>
      <c r="D15">
        <f t="shared" si="3"/>
        <v>1.2290854283225627E-6</v>
      </c>
      <c r="E15">
        <f t="shared" si="4"/>
        <v>1.2290854276564289E-6</v>
      </c>
    </row>
    <row r="16" spans="1:5">
      <c r="A16">
        <f t="shared" si="0"/>
        <v>8</v>
      </c>
      <c r="B16">
        <f t="shared" si="1"/>
        <v>1.3247182454489357</v>
      </c>
      <c r="C16">
        <f t="shared" si="2"/>
        <v>1.3247180119881969</v>
      </c>
      <c r="D16">
        <f t="shared" si="3"/>
        <v>2.3346073874108697E-7</v>
      </c>
      <c r="E16">
        <f t="shared" si="4"/>
        <v>2.3346073918517618E-7</v>
      </c>
    </row>
    <row r="17" spans="1:5">
      <c r="A17">
        <f t="shared" si="0"/>
        <v>9</v>
      </c>
      <c r="B17">
        <f t="shared" si="1"/>
        <v>1.3247180119881969</v>
      </c>
      <c r="C17">
        <f t="shared" si="2"/>
        <v>1.3247179676430871</v>
      </c>
      <c r="D17">
        <f t="shared" si="3"/>
        <v>4.4345109806442906E-8</v>
      </c>
      <c r="E17">
        <f t="shared" si="4"/>
        <v>4.4345108918264486E-8</v>
      </c>
    </row>
    <row r="18" spans="1:5">
      <c r="A18">
        <f t="shared" si="0"/>
        <v>10</v>
      </c>
      <c r="B18">
        <f t="shared" si="1"/>
        <v>1.3247179676430871</v>
      </c>
      <c r="C18">
        <f t="shared" si="2"/>
        <v>1.3247179592198772</v>
      </c>
      <c r="D18">
        <f t="shared" si="3"/>
        <v>8.4232099073489053E-9</v>
      </c>
      <c r="E18">
        <f t="shared" si="4"/>
        <v>8.4232099073489053E-9</v>
      </c>
    </row>
    <row r="19" spans="1:5">
      <c r="A19">
        <f t="shared" si="0"/>
        <v>11</v>
      </c>
      <c r="B19">
        <f t="shared" si="1"/>
        <v>1.3247179592198772</v>
      </c>
      <c r="C19">
        <f t="shared" si="2"/>
        <v>1.324717957619916</v>
      </c>
      <c r="D19">
        <f t="shared" si="3"/>
        <v>1.5999612745787317E-9</v>
      </c>
      <c r="E19">
        <f t="shared" si="4"/>
        <v>1.5999619407125465E-9</v>
      </c>
    </row>
    <row r="20" spans="1:5">
      <c r="A20">
        <f t="shared" si="0"/>
        <v>12</v>
      </c>
      <c r="B20">
        <f t="shared" si="1"/>
        <v>1.324717957619916</v>
      </c>
      <c r="C20">
        <f t="shared" si="2"/>
        <v>1.3247179573160084</v>
      </c>
      <c r="D20">
        <f t="shared" si="3"/>
        <v>3.03907565779582E-10</v>
      </c>
      <c r="E20">
        <f t="shared" si="4"/>
        <v>3.0390800986879185E-10</v>
      </c>
    </row>
    <row r="21" spans="1:5">
      <c r="A21">
        <f t="shared" si="0"/>
        <v>13</v>
      </c>
      <c r="B21">
        <f t="shared" si="1"/>
        <v>1.3247179573160084</v>
      </c>
      <c r="C21">
        <f t="shared" si="2"/>
        <v>1.3247179572582821</v>
      </c>
      <c r="D21">
        <f t="shared" si="3"/>
        <v>5.7726268209989939E-11</v>
      </c>
      <c r="E21">
        <f t="shared" si="4"/>
        <v>5.7726712299199789E-11</v>
      </c>
    </row>
    <row r="22" spans="1:5">
      <c r="A22">
        <f t="shared" si="0"/>
        <v>14</v>
      </c>
      <c r="B22">
        <f t="shared" si="1"/>
        <v>1.3247179572582821</v>
      </c>
      <c r="C22">
        <f t="shared" si="2"/>
        <v>1.3247179572473171</v>
      </c>
      <c r="D22">
        <f t="shared" si="3"/>
        <v>1.0965006680407896E-11</v>
      </c>
      <c r="E22">
        <f t="shared" si="4"/>
        <v>1.0964562591198046E-11</v>
      </c>
    </row>
    <row r="23" spans="1:5">
      <c r="A23">
        <f t="shared" si="0"/>
        <v>15</v>
      </c>
      <c r="B23">
        <f t="shared" si="1"/>
        <v>1.3247179572473171</v>
      </c>
      <c r="C23">
        <f t="shared" si="2"/>
        <v>1.3247179572452343</v>
      </c>
      <c r="D23">
        <f t="shared" si="3"/>
        <v>2.0827783941967937E-12</v>
      </c>
      <c r="E23">
        <f t="shared" si="4"/>
        <v>2.0827783941967937E-12</v>
      </c>
    </row>
    <row r="24" spans="1:5">
      <c r="A24">
        <f t="shared" si="0"/>
        <v>16</v>
      </c>
      <c r="B24">
        <f t="shared" si="1"/>
        <v>1.3247179572452343</v>
      </c>
      <c r="C24">
        <f t="shared" si="2"/>
        <v>1.3247179572448387</v>
      </c>
      <c r="D24">
        <f t="shared" si="3"/>
        <v>3.9568348597640579E-13</v>
      </c>
      <c r="E24">
        <f t="shared" si="4"/>
        <v>3.9479530755670567E-13</v>
      </c>
    </row>
    <row r="25" spans="1:5">
      <c r="A25">
        <f t="shared" si="0"/>
        <v>17</v>
      </c>
      <c r="B25">
        <f t="shared" si="1"/>
        <v>1.3247179572448387</v>
      </c>
      <c r="C25">
        <f t="shared" si="2"/>
        <v>1.3247179572447636</v>
      </c>
      <c r="D25">
        <f t="shared" si="3"/>
        <v>7.5051076464660582E-14</v>
      </c>
      <c r="E25">
        <f t="shared" si="4"/>
        <v>7.5051076464660582E-14</v>
      </c>
    </row>
    <row r="26" spans="1:5">
      <c r="A26">
        <f t="shared" si="0"/>
        <v>18</v>
      </c>
      <c r="B26">
        <f t="shared" si="1"/>
        <v>1.3247179572447636</v>
      </c>
      <c r="C26">
        <f t="shared" si="2"/>
        <v>1.3247179572447494</v>
      </c>
      <c r="D26">
        <f t="shared" si="3"/>
        <v>1.4210854715202004E-14</v>
      </c>
      <c r="E26">
        <f t="shared" si="4"/>
        <v>1.4210854715202004E-14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1375-E964-492A-B906-539FAD50F53D}">
  <dimension ref="A1:F11"/>
  <sheetViews>
    <sheetView workbookViewId="0">
      <selection activeCell="F16" sqref="F16"/>
    </sheetView>
  </sheetViews>
  <sheetFormatPr defaultRowHeight="15"/>
  <cols>
    <col min="1" max="1" width="11.42578125" bestFit="1" customWidth="1"/>
    <col min="2" max="5" width="12.5703125" bestFit="1" customWidth="1"/>
    <col min="6" max="6" width="13.28515625" bestFit="1" customWidth="1"/>
  </cols>
  <sheetData>
    <row r="1" spans="1:6">
      <c r="A1" t="s">
        <v>1</v>
      </c>
      <c r="B1" t="s">
        <v>23</v>
      </c>
    </row>
    <row r="2" spans="1:6">
      <c r="A2" t="s">
        <v>16</v>
      </c>
      <c r="B2">
        <v>2</v>
      </c>
    </row>
    <row r="3" spans="1:6">
      <c r="A3" t="s">
        <v>4</v>
      </c>
      <c r="B3">
        <v>1E-4</v>
      </c>
    </row>
    <row r="6" spans="1:6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>
      <c r="A7">
        <v>0</v>
      </c>
      <c r="B7">
        <f>$B$2</f>
        <v>2</v>
      </c>
      <c r="C7">
        <f>B7^3-B7-1</f>
        <v>5</v>
      </c>
      <c r="D7">
        <f>3*B7^2-1</f>
        <v>11</v>
      </c>
      <c r="E7">
        <f>B7-C7/D7</f>
        <v>1.5454545454545454</v>
      </c>
      <c r="F7">
        <f>ABS(E7-B7)</f>
        <v>0.45454545454545459</v>
      </c>
    </row>
    <row r="8" spans="1:6">
      <c r="A8">
        <f>A7+1</f>
        <v>1</v>
      </c>
      <c r="B8">
        <f>E7</f>
        <v>1.5454545454545454</v>
      </c>
      <c r="C8">
        <f>B8^3-B8-1</f>
        <v>1.1457550713749058</v>
      </c>
      <c r="D8">
        <f>3*B8^2-1</f>
        <v>6.1652892561983466</v>
      </c>
      <c r="E8">
        <f>B8-C8/D8</f>
        <v>1.359614915915184</v>
      </c>
      <c r="F8">
        <f>ABS(E8-B8)</f>
        <v>0.1858396295393614</v>
      </c>
    </row>
    <row r="9" spans="1:6">
      <c r="A9">
        <f t="shared" ref="A9:A11" si="0">A8+1</f>
        <v>2</v>
      </c>
      <c r="B9">
        <f t="shared" ref="B9:B11" si="1">E8</f>
        <v>1.359614915915184</v>
      </c>
      <c r="C9">
        <f t="shared" ref="C9:C11" si="2">B9^3-B9-1</f>
        <v>0.15370493448007472</v>
      </c>
      <c r="D9">
        <f t="shared" ref="D9:D11" si="3">3*B9^2-1</f>
        <v>4.5456581587371589</v>
      </c>
      <c r="E9">
        <f t="shared" ref="E9:E11" si="4">B9-C9/D9</f>
        <v>1.325801345005845</v>
      </c>
      <c r="F9">
        <f t="shared" ref="F9:F11" si="5">ABS(E9-B9)</f>
        <v>3.3813570909339008E-2</v>
      </c>
    </row>
    <row r="10" spans="1:6">
      <c r="A10">
        <f t="shared" si="0"/>
        <v>3</v>
      </c>
      <c r="B10">
        <f t="shared" si="1"/>
        <v>1.325801345005845</v>
      </c>
      <c r="C10">
        <f t="shared" si="2"/>
        <v>4.6249170478298574E-3</v>
      </c>
      <c r="D10">
        <f t="shared" si="3"/>
        <v>4.2732476192579227</v>
      </c>
      <c r="E10">
        <f t="shared" si="4"/>
        <v>1.3247190494171253</v>
      </c>
      <c r="F10">
        <f t="shared" si="5"/>
        <v>1.0822955887197505E-3</v>
      </c>
    </row>
    <row r="11" spans="1:6">
      <c r="A11">
        <f t="shared" si="0"/>
        <v>4</v>
      </c>
      <c r="B11">
        <f t="shared" si="1"/>
        <v>1.3247190494171253</v>
      </c>
      <c r="C11">
        <f t="shared" si="2"/>
        <v>4.6577191092911363E-6</v>
      </c>
      <c r="D11">
        <f t="shared" si="3"/>
        <v>4.2646416796658357</v>
      </c>
      <c r="E11">
        <f t="shared" si="4"/>
        <v>1.3247179572458576</v>
      </c>
      <c r="F11">
        <f t="shared" si="5"/>
        <v>1.0921712676470463E-6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BF54-74DA-488E-8AD4-DA5A334E4DBF}">
  <dimension ref="A1:G13"/>
  <sheetViews>
    <sheetView tabSelected="1" workbookViewId="0">
      <selection activeCell="B23" sqref="B23"/>
    </sheetView>
  </sheetViews>
  <sheetFormatPr defaultRowHeight="15"/>
  <cols>
    <col min="1" max="1" width="11.42578125" bestFit="1" customWidth="1"/>
    <col min="2" max="2" width="12.5703125" bestFit="1" customWidth="1"/>
    <col min="3" max="5" width="12.85546875" bestFit="1" customWidth="1"/>
    <col min="6" max="6" width="13.28515625" bestFit="1" customWidth="1"/>
    <col min="7" max="7" width="12.5703125" bestFit="1" customWidth="1"/>
  </cols>
  <sheetData>
    <row r="1" spans="1:7">
      <c r="A1" t="s">
        <v>1</v>
      </c>
    </row>
    <row r="2" spans="1:7">
      <c r="A2" t="s">
        <v>16</v>
      </c>
      <c r="B2">
        <v>1</v>
      </c>
    </row>
    <row r="3" spans="1:7">
      <c r="A3" t="s">
        <v>30</v>
      </c>
      <c r="B3">
        <v>2</v>
      </c>
    </row>
    <row r="4" spans="1:7">
      <c r="A4" t="s">
        <v>4</v>
      </c>
      <c r="B4">
        <v>1E-4</v>
      </c>
    </row>
    <row r="6" spans="1:7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7">
      <c r="A7">
        <v>0</v>
      </c>
      <c r="B7">
        <f>$B$2</f>
        <v>1</v>
      </c>
      <c r="C7">
        <f>B7^3-B7-1</f>
        <v>-1</v>
      </c>
    </row>
    <row r="8" spans="1:7">
      <c r="A8">
        <v>1</v>
      </c>
      <c r="B8">
        <f>$B$3</f>
        <v>2</v>
      </c>
      <c r="C8">
        <f>B8^3-B8-1</f>
        <v>5</v>
      </c>
      <c r="D8">
        <f>B8-B7</f>
        <v>1</v>
      </c>
      <c r="E8">
        <f>C8-C7</f>
        <v>6</v>
      </c>
      <c r="F8">
        <f>B8-C8*D8/E8</f>
        <v>1.1666666666666665</v>
      </c>
      <c r="G8">
        <f>ABS(F8-B8)</f>
        <v>0.83333333333333348</v>
      </c>
    </row>
    <row r="9" spans="1:7">
      <c r="A9">
        <f>A8+1</f>
        <v>2</v>
      </c>
      <c r="B9">
        <f>F8</f>
        <v>1.1666666666666665</v>
      </c>
      <c r="C9">
        <f>B9^3-B9-1</f>
        <v>-0.57870370370370416</v>
      </c>
      <c r="D9">
        <f>B9-B8</f>
        <v>-0.83333333333333348</v>
      </c>
      <c r="E9">
        <f>C9-C8</f>
        <v>-5.5787037037037042</v>
      </c>
      <c r="F9">
        <f>B9-C9*D9/E9</f>
        <v>1.2531120331950207</v>
      </c>
      <c r="G9">
        <f>ABS(F9-B9)</f>
        <v>8.6445366528354217E-2</v>
      </c>
    </row>
    <row r="10" spans="1:7">
      <c r="A10">
        <f t="shared" ref="A10:A13" si="0">A9+1</f>
        <v>3</v>
      </c>
      <c r="B10">
        <f t="shared" ref="B10:B13" si="1">F9</f>
        <v>1.2531120331950207</v>
      </c>
      <c r="C10">
        <f t="shared" ref="C10:C13" si="2">B10^3-B10-1</f>
        <v>-0.28536302963931992</v>
      </c>
      <c r="D10">
        <f t="shared" ref="D10:D13" si="3">B10-B9</f>
        <v>8.6445366528354217E-2</v>
      </c>
      <c r="E10">
        <f t="shared" ref="E10:E13" si="4">C10-C9</f>
        <v>0.29334067406438424</v>
      </c>
      <c r="F10">
        <f t="shared" ref="F10:F13" si="5">B10-C10*D10/E10</f>
        <v>1.3372064458416566</v>
      </c>
      <c r="G10">
        <f t="shared" ref="G10:G13" si="6">ABS(F10-B10)</f>
        <v>8.4094412646635863E-2</v>
      </c>
    </row>
    <row r="11" spans="1:7">
      <c r="A11">
        <f t="shared" si="0"/>
        <v>4</v>
      </c>
      <c r="B11">
        <f t="shared" si="1"/>
        <v>1.3372064458416566</v>
      </c>
      <c r="C11">
        <f t="shared" si="2"/>
        <v>5.3880586675675968E-2</v>
      </c>
      <c r="D11">
        <f t="shared" si="3"/>
        <v>8.4094412646635863E-2</v>
      </c>
      <c r="E11">
        <f t="shared" si="4"/>
        <v>0.33924361631499589</v>
      </c>
      <c r="F11">
        <f t="shared" si="5"/>
        <v>1.323850096387641</v>
      </c>
      <c r="G11">
        <f t="shared" si="6"/>
        <v>1.3356349454015648E-2</v>
      </c>
    </row>
    <row r="12" spans="1:7">
      <c r="A12">
        <f t="shared" si="0"/>
        <v>5</v>
      </c>
      <c r="B12">
        <f t="shared" si="1"/>
        <v>1.323850096387641</v>
      </c>
      <c r="C12">
        <f t="shared" si="2"/>
        <v>-3.6981154401642957E-3</v>
      </c>
      <c r="D12">
        <f t="shared" si="3"/>
        <v>-1.3356349454015648E-2</v>
      </c>
      <c r="E12">
        <f t="shared" si="4"/>
        <v>-5.7578702115840263E-2</v>
      </c>
      <c r="F12">
        <f t="shared" si="5"/>
        <v>1.324707936532088</v>
      </c>
      <c r="G12">
        <f t="shared" si="6"/>
        <v>8.5784014444700851E-4</v>
      </c>
    </row>
    <row r="13" spans="1:7">
      <c r="A13">
        <f t="shared" si="0"/>
        <v>6</v>
      </c>
      <c r="B13">
        <f t="shared" si="1"/>
        <v>1.324707936532088</v>
      </c>
      <c r="C13">
        <f t="shared" si="2"/>
        <v>-4.2734262810206758E-5</v>
      </c>
      <c r="D13">
        <f t="shared" si="3"/>
        <v>8.5784014444700851E-4</v>
      </c>
      <c r="E13">
        <f t="shared" si="4"/>
        <v>3.655381177354089E-3</v>
      </c>
      <c r="F13">
        <f t="shared" si="5"/>
        <v>1.3247179653538177</v>
      </c>
      <c r="G13">
        <f t="shared" si="6"/>
        <v>1.0028821729735071E-5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A2C1-1A4C-4474-9407-CD4E1FDB0981}">
  <dimension ref="A1:D5"/>
  <sheetViews>
    <sheetView workbookViewId="0">
      <selection activeCell="E1" sqref="E1"/>
    </sheetView>
  </sheetViews>
  <sheetFormatPr defaultRowHeight="15"/>
  <cols>
    <col min="1" max="1" width="7.140625" bestFit="1" customWidth="1"/>
    <col min="2" max="2" width="10" bestFit="1" customWidth="1"/>
    <col min="3" max="3" width="9.28515625" bestFit="1" customWidth="1"/>
  </cols>
  <sheetData>
    <row r="1" spans="1:4">
      <c r="A1" t="s">
        <v>31</v>
      </c>
      <c r="B1" t="s">
        <v>32</v>
      </c>
      <c r="C1" t="s">
        <v>33</v>
      </c>
      <c r="D1" t="s">
        <v>34</v>
      </c>
    </row>
    <row r="2" spans="1:4">
      <c r="A2" t="s">
        <v>35</v>
      </c>
      <c r="B2">
        <v>14</v>
      </c>
      <c r="C2">
        <v>1.3247199999999999</v>
      </c>
      <c r="D2" t="s">
        <v>36</v>
      </c>
    </row>
    <row r="3" spans="1:4">
      <c r="A3" t="s">
        <v>37</v>
      </c>
      <c r="B3">
        <v>19</v>
      </c>
      <c r="C3">
        <v>1.3247199999999999</v>
      </c>
      <c r="D3" t="s">
        <v>38</v>
      </c>
    </row>
    <row r="4" spans="1:4">
      <c r="A4" t="s">
        <v>39</v>
      </c>
      <c r="B4">
        <v>3</v>
      </c>
      <c r="C4">
        <v>1.3247180000000001</v>
      </c>
      <c r="D4" t="s">
        <v>40</v>
      </c>
    </row>
    <row r="5" spans="1:4">
      <c r="A5" t="s">
        <v>41</v>
      </c>
      <c r="B5">
        <v>5</v>
      </c>
      <c r="C5">
        <v>1.3247180000000001</v>
      </c>
      <c r="D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2026-10-04T14:57:51Z</dcterms:created>
  <dcterms:modified xsi:type="dcterms:W3CDTF">2026-10-05T15:29:56Z</dcterms:modified>
  <cp:category/>
  <cp:contentStatus/>
</cp:coreProperties>
</file>